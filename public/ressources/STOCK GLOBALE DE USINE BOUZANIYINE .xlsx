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delilah/"/>
    </mc:Choice>
  </mc:AlternateContent>
  <xr:revisionPtr revIDLastSave="0" documentId="13_ncr:1_{B653B92D-5273-9340-BEC7-E8AAE796EBA8}" xr6:coauthVersionLast="47" xr6:coauthVersionMax="47" xr10:uidLastSave="{00000000-0000-0000-0000-000000000000}"/>
  <bookViews>
    <workbookView xWindow="380" yWindow="500" windowWidth="28040" windowHeight="16140" activeTab="2" xr2:uid="{02512255-2EAB-4442-B3C8-678E31B23955}"/>
  </bookViews>
  <sheets>
    <sheet name="stock materiaux " sheetId="1" r:id="rId1"/>
    <sheet name="stock  carton produit du maroc " sheetId="3" r:id="rId2"/>
    <sheet name="stock carton mapexel copemar " sheetId="2" r:id="rId3"/>
  </sheets>
  <definedNames>
    <definedName name="_xlnm.Print_Area" localSheetId="1">'stock  carton produit du maroc '!$D$1:$E$7</definedName>
    <definedName name="_xlnm.Print_Area" localSheetId="2">'stock carton mapexel copemar '!$E$1:$H$22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2" l="1"/>
  <c r="H18" i="2" s="1"/>
  <c r="H15" i="2"/>
  <c r="H6" i="2"/>
  <c r="H5" i="2"/>
  <c r="H8" i="2" s="1"/>
  <c r="H21" i="2" s="1"/>
  <c r="F8" i="2"/>
  <c r="E7" i="3"/>
  <c r="F18" i="2"/>
</calcChain>
</file>

<file path=xl/sharedStrings.xml><?xml version="1.0" encoding="utf-8"?>
<sst xmlns="http://schemas.openxmlformats.org/spreadsheetml/2006/main" count="248" uniqueCount="119">
  <si>
    <t xml:space="preserve">TERCIALIA AGRO TRANSFORMERS </t>
  </si>
  <si>
    <t xml:space="preserve">INVENTAIRE DU MATERIEL </t>
  </si>
  <si>
    <t xml:space="preserve">ARTICLE </t>
  </si>
  <si>
    <t xml:space="preserve">DIMENSIONS </t>
  </si>
  <si>
    <t xml:space="preserve">COULEUR </t>
  </si>
  <si>
    <t xml:space="preserve">QUANTITE </t>
  </si>
  <si>
    <t>119,5*99,5*74</t>
  </si>
  <si>
    <t xml:space="preserve">GRIS </t>
  </si>
  <si>
    <t xml:space="preserve">BASSIN </t>
  </si>
  <si>
    <t>REFERENCE</t>
  </si>
  <si>
    <t>QTE</t>
  </si>
  <si>
    <t>T&amp;T</t>
  </si>
  <si>
    <t xml:space="preserve">TOTAL </t>
  </si>
  <si>
    <t xml:space="preserve">CARTON DIVERS </t>
  </si>
  <si>
    <t xml:space="preserve">PRODUIT DU MAROC </t>
  </si>
  <si>
    <t xml:space="preserve">CARTON AGADIR </t>
  </si>
  <si>
    <t>TROCIADO</t>
  </si>
  <si>
    <t>PRICE</t>
  </si>
  <si>
    <t>TRANSPORT</t>
  </si>
  <si>
    <t>119,5*100*99,5</t>
  </si>
  <si>
    <t xml:space="preserve">CAISSE </t>
  </si>
  <si>
    <t>58,5*39,5*8,5</t>
  </si>
  <si>
    <t>Blanche</t>
  </si>
  <si>
    <t>57,5*38,5*12,5</t>
  </si>
  <si>
    <t>60*40*10</t>
  </si>
  <si>
    <t>60*40*15</t>
  </si>
  <si>
    <t>59,5*39,5*7,5</t>
  </si>
  <si>
    <t>61,5*47*32</t>
  </si>
  <si>
    <t>Verte</t>
  </si>
  <si>
    <t>56*38*19</t>
  </si>
  <si>
    <t>TABLE INOX</t>
  </si>
  <si>
    <t>190*90*84</t>
  </si>
  <si>
    <t>120*90*78</t>
  </si>
  <si>
    <t>164*83*90</t>
  </si>
  <si>
    <t>189*89*84</t>
  </si>
  <si>
    <t>150*90*88</t>
  </si>
  <si>
    <t>137*70*89</t>
  </si>
  <si>
    <t xml:space="preserve">TABLE EMBALLAGE </t>
  </si>
  <si>
    <t>189.5*89.5*86</t>
  </si>
  <si>
    <t>189*89.5*86</t>
  </si>
  <si>
    <t>101*99.5*86</t>
  </si>
  <si>
    <t>103*101*86</t>
  </si>
  <si>
    <t>PALETTE PLASTIQUE</t>
  </si>
  <si>
    <t>120*100</t>
  </si>
  <si>
    <t>120*80</t>
  </si>
  <si>
    <t xml:space="preserve">Blanc </t>
  </si>
  <si>
    <t>Blanc metal</t>
  </si>
  <si>
    <t>Multicolor</t>
  </si>
  <si>
    <t>100*80</t>
  </si>
  <si>
    <t xml:space="preserve">Blanche </t>
  </si>
  <si>
    <t>121,5*80</t>
  </si>
  <si>
    <t>3,108*1,47*1,28</t>
  </si>
  <si>
    <t xml:space="preserve">PACKING MACHINE </t>
  </si>
  <si>
    <t>-</t>
  </si>
  <si>
    <t xml:space="preserve">VACCUN MACHINE </t>
  </si>
  <si>
    <t xml:space="preserve">MACHINE STOCK </t>
  </si>
  <si>
    <t xml:space="preserve">DETECTEUR DE METAL </t>
  </si>
  <si>
    <t>60*40</t>
  </si>
  <si>
    <t>CHARIOT INOX</t>
  </si>
  <si>
    <t xml:space="preserve">BALANCE </t>
  </si>
  <si>
    <t>40*30,5</t>
  </si>
  <si>
    <t>60,5*51</t>
  </si>
  <si>
    <t>51*40,5</t>
  </si>
  <si>
    <t>BALANCE PN</t>
  </si>
  <si>
    <t xml:space="preserve">TABLE INOX </t>
  </si>
  <si>
    <t>90*56*74</t>
  </si>
  <si>
    <t>SEAU</t>
  </si>
  <si>
    <t xml:space="preserve">Noir </t>
  </si>
  <si>
    <t>33*28</t>
  </si>
  <si>
    <t xml:space="preserve">BAÑO RECTANGLE </t>
  </si>
  <si>
    <t>30*20</t>
  </si>
  <si>
    <t>45*35</t>
  </si>
  <si>
    <t>41.5*31.5</t>
  </si>
  <si>
    <t xml:space="preserve">PASSOIRE CIRCULAIRE </t>
  </si>
  <si>
    <t>D:27</t>
  </si>
  <si>
    <t xml:space="preserve">D: 45 </t>
  </si>
  <si>
    <t>D:26</t>
  </si>
  <si>
    <t>D:33</t>
  </si>
  <si>
    <t>D:35</t>
  </si>
  <si>
    <t>D:32</t>
  </si>
  <si>
    <t>D:25</t>
  </si>
  <si>
    <t xml:space="preserve">SEAU POUBELLE </t>
  </si>
  <si>
    <t>49*64</t>
  </si>
  <si>
    <t xml:space="preserve">Gris </t>
  </si>
  <si>
    <t>48*57</t>
  </si>
  <si>
    <t>47,5*56</t>
  </si>
  <si>
    <t>Bleau</t>
  </si>
  <si>
    <t xml:space="preserve">PALETTE BOIS </t>
  </si>
  <si>
    <t>121*106</t>
  </si>
  <si>
    <t xml:space="preserve">TRANSPALETTE </t>
  </si>
  <si>
    <t xml:space="preserve">Non fonctionnel </t>
  </si>
  <si>
    <t xml:space="preserve">Fonctionnel </t>
  </si>
  <si>
    <t xml:space="preserve">Sans roue </t>
  </si>
  <si>
    <t xml:space="preserve">TRANSPALETTE BALANCE </t>
  </si>
  <si>
    <t xml:space="preserve">TRANSPALETTE ELECTRIQUE </t>
  </si>
  <si>
    <t>SCOTCH P.M</t>
  </si>
  <si>
    <t>341 R</t>
  </si>
  <si>
    <t>SCOTCH G.N</t>
  </si>
  <si>
    <t>28 R</t>
  </si>
  <si>
    <t>ETIQUETTES</t>
  </si>
  <si>
    <t>20 R</t>
  </si>
  <si>
    <t>100/70</t>
  </si>
  <si>
    <t>7 R</t>
  </si>
  <si>
    <t xml:space="preserve">FILM ALIMENTAIRE </t>
  </si>
  <si>
    <t>4 R</t>
  </si>
  <si>
    <t>6 C</t>
  </si>
  <si>
    <t xml:space="preserve">BATTEUSE </t>
  </si>
  <si>
    <t>116*98*65</t>
  </si>
  <si>
    <t xml:space="preserve">GANTS </t>
  </si>
  <si>
    <t>1078 P</t>
  </si>
  <si>
    <t xml:space="preserve">FRITEUSE </t>
  </si>
  <si>
    <t xml:space="preserve">LIFT GERVEUR </t>
  </si>
  <si>
    <t xml:space="preserve">BI STAXIO </t>
  </si>
  <si>
    <t xml:space="preserve">MACHINE DE COUPAGE </t>
  </si>
  <si>
    <t xml:space="preserve">SEL </t>
  </si>
  <si>
    <t>64 S</t>
  </si>
  <si>
    <t xml:space="preserve">DERHEM SEAFOOD CARTON </t>
  </si>
  <si>
    <t xml:space="preserve"> EL HARDOUFI CARTON </t>
  </si>
  <si>
    <t>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</si>
</sst>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)_ ;_ * \(#,##0.00\)_ ;_ * &quot;-&quot;??_)_ ;_ @_ "/>
    <numFmt numFmtId="164" formatCode="_ * #,##0.00_)\ _€_ ;_ * \(#,##0.00\)\ _€_ ;_ * &quot;-&quot;??_)\ _€_ ;_ @_ "/>
  </numFmts>
  <fonts count="7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43" fontId="4" fillId="0" borderId="1" xfId="1" applyFont="1" applyBorder="1" applyAlignment="1">
      <alignment horizontal="center" vertical="center"/>
    </xf>
    <xf numFmtId="43" fontId="3" fillId="5" borderId="1" xfId="1" applyFont="1" applyFill="1" applyBorder="1" applyAlignment="1">
      <alignment horizontal="center"/>
    </xf>
    <xf numFmtId="164" fontId="6" fillId="0" borderId="1" xfId="0" applyNumberFormat="1" applyFont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DD170-86B5-E942-8CB8-4AB0590FEB3E}">
  <dimension ref="C1:F74"/>
  <sheetViews>
    <sheetView topLeftCell="A55" zoomScale="140" zoomScaleNormal="140" workbookViewId="0">
      <selection activeCell="F71" sqref="F71"/>
    </sheetView>
  </sheetViews>
  <sheetFormatPr baseColWidth="10" defaultRowHeight="16" x14ac:dyDescent="0.2"/>
  <cols>
    <col min="3" max="3" width="24.1640625" style="6" customWidth="1"/>
    <col min="4" max="4" width="30.1640625" customWidth="1"/>
    <col min="5" max="5" width="23.1640625" customWidth="1"/>
    <col min="6" max="6" width="37.1640625" customWidth="1"/>
  </cols>
  <sheetData>
    <row r="1" spans="3:6" ht="37" x14ac:dyDescent="0.45">
      <c r="C1" s="10" t="s">
        <v>0</v>
      </c>
      <c r="D1" s="10"/>
      <c r="E1" s="10"/>
      <c r="F1" s="10"/>
    </row>
    <row r="2" spans="3:6" ht="21" x14ac:dyDescent="0.25">
      <c r="C2" s="11" t="s">
        <v>1</v>
      </c>
      <c r="D2" s="11"/>
      <c r="E2" s="11"/>
      <c r="F2" s="11"/>
    </row>
    <row r="3" spans="3:6" ht="21" x14ac:dyDescent="0.25">
      <c r="C3" s="4" t="s">
        <v>2</v>
      </c>
      <c r="D3" s="4" t="s">
        <v>3</v>
      </c>
      <c r="E3" s="4" t="s">
        <v>4</v>
      </c>
      <c r="F3" s="4" t="s">
        <v>5</v>
      </c>
    </row>
    <row r="4" spans="3:6" x14ac:dyDescent="0.2">
      <c r="C4" s="5" t="s">
        <v>8</v>
      </c>
      <c r="D4" s="1" t="s">
        <v>6</v>
      </c>
      <c r="E4" s="1" t="s">
        <v>7</v>
      </c>
      <c r="F4" s="1">
        <v>71</v>
      </c>
    </row>
    <row r="5" spans="3:6" x14ac:dyDescent="0.2">
      <c r="C5" s="5" t="s">
        <v>8</v>
      </c>
      <c r="D5" s="1" t="s">
        <v>19</v>
      </c>
      <c r="E5" s="1" t="s">
        <v>45</v>
      </c>
      <c r="F5" s="1">
        <v>2</v>
      </c>
    </row>
    <row r="6" spans="3:6" x14ac:dyDescent="0.2">
      <c r="C6" s="5" t="s">
        <v>20</v>
      </c>
      <c r="D6" s="1" t="s">
        <v>21</v>
      </c>
      <c r="E6" s="1" t="s">
        <v>22</v>
      </c>
      <c r="F6" s="1">
        <v>1973</v>
      </c>
    </row>
    <row r="7" spans="3:6" x14ac:dyDescent="0.2">
      <c r="C7" s="5" t="s">
        <v>20</v>
      </c>
      <c r="D7" s="1" t="s">
        <v>23</v>
      </c>
      <c r="E7" s="1" t="s">
        <v>22</v>
      </c>
      <c r="F7" s="1">
        <v>920</v>
      </c>
    </row>
    <row r="8" spans="3:6" x14ac:dyDescent="0.2">
      <c r="C8" s="5" t="s">
        <v>20</v>
      </c>
      <c r="D8" s="1" t="s">
        <v>24</v>
      </c>
      <c r="E8" s="1" t="s">
        <v>22</v>
      </c>
      <c r="F8" s="1">
        <v>125</v>
      </c>
    </row>
    <row r="9" spans="3:6" x14ac:dyDescent="0.2">
      <c r="C9" s="5" t="s">
        <v>20</v>
      </c>
      <c r="D9" s="1" t="s">
        <v>25</v>
      </c>
      <c r="E9" s="1" t="s">
        <v>22</v>
      </c>
      <c r="F9" s="1">
        <v>78</v>
      </c>
    </row>
    <row r="10" spans="3:6" x14ac:dyDescent="0.2">
      <c r="C10" s="5" t="s">
        <v>20</v>
      </c>
      <c r="D10" s="1" t="s">
        <v>26</v>
      </c>
      <c r="E10" s="1" t="s">
        <v>22</v>
      </c>
      <c r="F10" s="1">
        <v>121</v>
      </c>
    </row>
    <row r="11" spans="3:6" x14ac:dyDescent="0.2">
      <c r="C11" s="5" t="s">
        <v>20</v>
      </c>
      <c r="D11" s="1" t="s">
        <v>27</v>
      </c>
      <c r="E11" s="1" t="s">
        <v>28</v>
      </c>
      <c r="F11" s="1">
        <v>9</v>
      </c>
    </row>
    <row r="12" spans="3:6" x14ac:dyDescent="0.2">
      <c r="C12" s="5" t="s">
        <v>20</v>
      </c>
      <c r="D12" s="1" t="s">
        <v>29</v>
      </c>
      <c r="E12" s="1" t="s">
        <v>28</v>
      </c>
      <c r="F12" s="1">
        <v>8</v>
      </c>
    </row>
    <row r="13" spans="3:6" x14ac:dyDescent="0.2">
      <c r="C13" s="5" t="s">
        <v>30</v>
      </c>
      <c r="D13" s="1" t="s">
        <v>31</v>
      </c>
      <c r="E13" s="1" t="s">
        <v>46</v>
      </c>
      <c r="F13" s="1">
        <v>4</v>
      </c>
    </row>
    <row r="14" spans="3:6" x14ac:dyDescent="0.2">
      <c r="C14" s="5" t="s">
        <v>30</v>
      </c>
      <c r="D14" s="1" t="s">
        <v>32</v>
      </c>
      <c r="E14" s="1" t="s">
        <v>46</v>
      </c>
      <c r="F14" s="1">
        <v>4</v>
      </c>
    </row>
    <row r="15" spans="3:6" x14ac:dyDescent="0.2">
      <c r="C15" s="5" t="s">
        <v>30</v>
      </c>
      <c r="D15" s="1" t="s">
        <v>33</v>
      </c>
      <c r="E15" s="1" t="s">
        <v>46</v>
      </c>
      <c r="F15" s="1">
        <v>1</v>
      </c>
    </row>
    <row r="16" spans="3:6" x14ac:dyDescent="0.2">
      <c r="C16" s="5" t="s">
        <v>30</v>
      </c>
      <c r="D16" s="1" t="s">
        <v>34</v>
      </c>
      <c r="E16" s="1" t="s">
        <v>46</v>
      </c>
      <c r="F16" s="1">
        <v>1</v>
      </c>
    </row>
    <row r="17" spans="3:6" x14ac:dyDescent="0.2">
      <c r="C17" s="5" t="s">
        <v>30</v>
      </c>
      <c r="D17" s="1" t="s">
        <v>35</v>
      </c>
      <c r="E17" s="1" t="s">
        <v>46</v>
      </c>
      <c r="F17" s="1">
        <v>1</v>
      </c>
    </row>
    <row r="18" spans="3:6" x14ac:dyDescent="0.2">
      <c r="C18" s="5" t="s">
        <v>30</v>
      </c>
      <c r="D18" s="1" t="s">
        <v>36</v>
      </c>
      <c r="E18" s="1" t="s">
        <v>46</v>
      </c>
      <c r="F18" s="1">
        <v>1</v>
      </c>
    </row>
    <row r="19" spans="3:6" x14ac:dyDescent="0.2">
      <c r="C19" s="5" t="s">
        <v>30</v>
      </c>
      <c r="D19" s="1" t="s">
        <v>39</v>
      </c>
      <c r="E19" s="1" t="s">
        <v>46</v>
      </c>
      <c r="F19" s="1">
        <v>1</v>
      </c>
    </row>
    <row r="20" spans="3:6" x14ac:dyDescent="0.2">
      <c r="C20" s="5" t="s">
        <v>30</v>
      </c>
      <c r="D20" s="1" t="s">
        <v>38</v>
      </c>
      <c r="E20" s="1" t="s">
        <v>46</v>
      </c>
      <c r="F20" s="1">
        <v>1</v>
      </c>
    </row>
    <row r="21" spans="3:6" x14ac:dyDescent="0.2">
      <c r="C21" s="5" t="s">
        <v>30</v>
      </c>
      <c r="D21" s="1" t="s">
        <v>51</v>
      </c>
      <c r="E21" s="1" t="s">
        <v>46</v>
      </c>
      <c r="F21" s="1">
        <v>6</v>
      </c>
    </row>
    <row r="22" spans="3:6" x14ac:dyDescent="0.2">
      <c r="C22" s="5" t="s">
        <v>64</v>
      </c>
      <c r="D22" s="1" t="s">
        <v>65</v>
      </c>
      <c r="E22" s="1" t="s">
        <v>46</v>
      </c>
      <c r="F22" s="1">
        <v>1</v>
      </c>
    </row>
    <row r="23" spans="3:6" x14ac:dyDescent="0.2">
      <c r="C23" s="5" t="s">
        <v>37</v>
      </c>
      <c r="D23" s="1" t="s">
        <v>40</v>
      </c>
      <c r="E23" s="1" t="s">
        <v>28</v>
      </c>
      <c r="F23" s="1">
        <v>1</v>
      </c>
    </row>
    <row r="24" spans="3:6" x14ac:dyDescent="0.2">
      <c r="C24" s="5" t="s">
        <v>37</v>
      </c>
      <c r="D24" s="1" t="s">
        <v>41</v>
      </c>
      <c r="E24" s="1" t="s">
        <v>22</v>
      </c>
      <c r="F24" s="1">
        <v>1</v>
      </c>
    </row>
    <row r="25" spans="3:6" x14ac:dyDescent="0.2">
      <c r="C25" s="5" t="s">
        <v>42</v>
      </c>
      <c r="D25" s="1" t="s">
        <v>43</v>
      </c>
      <c r="E25" s="1" t="s">
        <v>47</v>
      </c>
      <c r="F25" s="1">
        <v>21</v>
      </c>
    </row>
    <row r="26" spans="3:6" x14ac:dyDescent="0.2">
      <c r="C26" s="5" t="s">
        <v>42</v>
      </c>
      <c r="D26" s="1" t="s">
        <v>44</v>
      </c>
      <c r="E26" s="1" t="s">
        <v>47</v>
      </c>
      <c r="F26" s="1">
        <v>59</v>
      </c>
    </row>
    <row r="27" spans="3:6" x14ac:dyDescent="0.2">
      <c r="C27" s="5" t="s">
        <v>42</v>
      </c>
      <c r="D27" s="1" t="s">
        <v>48</v>
      </c>
      <c r="E27" s="1" t="s">
        <v>49</v>
      </c>
      <c r="F27" s="1">
        <v>11</v>
      </c>
    </row>
    <row r="28" spans="3:6" x14ac:dyDescent="0.2">
      <c r="C28" s="5" t="s">
        <v>42</v>
      </c>
      <c r="D28" s="1" t="s">
        <v>50</v>
      </c>
      <c r="E28" s="1" t="s">
        <v>22</v>
      </c>
      <c r="F28" s="1">
        <v>1</v>
      </c>
    </row>
    <row r="29" spans="3:6" x14ac:dyDescent="0.2">
      <c r="C29" s="5" t="s">
        <v>52</v>
      </c>
      <c r="D29" s="1" t="s">
        <v>53</v>
      </c>
      <c r="E29" s="1" t="s">
        <v>53</v>
      </c>
      <c r="F29" s="1">
        <v>1</v>
      </c>
    </row>
    <row r="30" spans="3:6" x14ac:dyDescent="0.2">
      <c r="C30" s="5" t="s">
        <v>54</v>
      </c>
      <c r="D30" s="1" t="s">
        <v>53</v>
      </c>
      <c r="E30" s="1" t="s">
        <v>53</v>
      </c>
      <c r="F30" s="1">
        <v>1</v>
      </c>
    </row>
    <row r="31" spans="3:6" x14ac:dyDescent="0.2">
      <c r="C31" s="5" t="s">
        <v>55</v>
      </c>
      <c r="D31" s="1" t="s">
        <v>53</v>
      </c>
      <c r="E31" s="1" t="s">
        <v>53</v>
      </c>
      <c r="F31" s="1">
        <v>1</v>
      </c>
    </row>
    <row r="32" spans="3:6" x14ac:dyDescent="0.2">
      <c r="C32" s="5" t="s">
        <v>56</v>
      </c>
      <c r="D32" s="1" t="s">
        <v>53</v>
      </c>
      <c r="E32" s="1" t="s">
        <v>53</v>
      </c>
      <c r="F32" s="1">
        <v>1</v>
      </c>
    </row>
    <row r="33" spans="3:6" x14ac:dyDescent="0.2">
      <c r="C33" s="5" t="s">
        <v>58</v>
      </c>
      <c r="D33" s="1" t="s">
        <v>57</v>
      </c>
      <c r="E33" s="1" t="s">
        <v>46</v>
      </c>
      <c r="F33" s="1">
        <v>12</v>
      </c>
    </row>
    <row r="34" spans="3:6" x14ac:dyDescent="0.2">
      <c r="C34" s="5" t="s">
        <v>59</v>
      </c>
      <c r="D34" s="1" t="s">
        <v>60</v>
      </c>
      <c r="E34" s="1" t="s">
        <v>46</v>
      </c>
      <c r="F34" s="1">
        <v>6</v>
      </c>
    </row>
    <row r="35" spans="3:6" x14ac:dyDescent="0.2">
      <c r="C35" s="5" t="s">
        <v>59</v>
      </c>
      <c r="D35" s="1" t="s">
        <v>61</v>
      </c>
      <c r="E35" s="1" t="s">
        <v>46</v>
      </c>
      <c r="F35" s="1">
        <v>1</v>
      </c>
    </row>
    <row r="36" spans="3:6" x14ac:dyDescent="0.2">
      <c r="C36" s="5" t="s">
        <v>59</v>
      </c>
      <c r="D36" s="1" t="s">
        <v>62</v>
      </c>
      <c r="E36" s="1" t="s">
        <v>46</v>
      </c>
      <c r="F36" s="1">
        <v>1</v>
      </c>
    </row>
    <row r="37" spans="3:6" x14ac:dyDescent="0.2">
      <c r="C37" s="5" t="s">
        <v>63</v>
      </c>
      <c r="D37" s="1" t="s">
        <v>53</v>
      </c>
      <c r="E37" s="1" t="s">
        <v>53</v>
      </c>
      <c r="F37" s="1">
        <v>7</v>
      </c>
    </row>
    <row r="38" spans="3:6" x14ac:dyDescent="0.2">
      <c r="C38" s="5" t="s">
        <v>66</v>
      </c>
      <c r="D38" s="1" t="s">
        <v>75</v>
      </c>
      <c r="E38" s="1" t="s">
        <v>67</v>
      </c>
      <c r="F38" s="1">
        <v>83</v>
      </c>
    </row>
    <row r="39" spans="3:6" x14ac:dyDescent="0.2">
      <c r="C39" s="5" t="s">
        <v>69</v>
      </c>
      <c r="D39" s="1" t="s">
        <v>68</v>
      </c>
      <c r="E39" s="1" t="s">
        <v>47</v>
      </c>
      <c r="F39" s="1">
        <v>4</v>
      </c>
    </row>
    <row r="40" spans="3:6" x14ac:dyDescent="0.2">
      <c r="C40" s="5" t="s">
        <v>69</v>
      </c>
      <c r="D40" s="1" t="s">
        <v>70</v>
      </c>
      <c r="E40" s="1" t="s">
        <v>49</v>
      </c>
      <c r="F40" s="1">
        <v>11</v>
      </c>
    </row>
    <row r="41" spans="3:6" x14ac:dyDescent="0.2">
      <c r="C41" s="5" t="s">
        <v>69</v>
      </c>
      <c r="D41" s="1" t="s">
        <v>71</v>
      </c>
      <c r="E41" s="1" t="s">
        <v>49</v>
      </c>
      <c r="F41" s="1">
        <v>19</v>
      </c>
    </row>
    <row r="42" spans="3:6" x14ac:dyDescent="0.2">
      <c r="C42" s="5" t="s">
        <v>69</v>
      </c>
      <c r="D42" s="1" t="s">
        <v>72</v>
      </c>
      <c r="E42" s="1" t="s">
        <v>22</v>
      </c>
      <c r="F42" s="1">
        <v>51</v>
      </c>
    </row>
    <row r="43" spans="3:6" x14ac:dyDescent="0.2">
      <c r="C43" s="5" t="s">
        <v>73</v>
      </c>
      <c r="D43" s="1" t="s">
        <v>74</v>
      </c>
      <c r="E43" s="1" t="s">
        <v>47</v>
      </c>
      <c r="F43" s="1">
        <v>49</v>
      </c>
    </row>
    <row r="44" spans="3:6" x14ac:dyDescent="0.2">
      <c r="C44" s="5" t="s">
        <v>73</v>
      </c>
      <c r="D44" s="1" t="s">
        <v>76</v>
      </c>
      <c r="E44" s="1" t="s">
        <v>47</v>
      </c>
      <c r="F44" s="1">
        <v>4</v>
      </c>
    </row>
    <row r="45" spans="3:6" ht="14" customHeight="1" x14ac:dyDescent="0.2">
      <c r="C45" s="5" t="s">
        <v>73</v>
      </c>
      <c r="D45" s="1" t="s">
        <v>77</v>
      </c>
      <c r="E45" s="1" t="s">
        <v>47</v>
      </c>
      <c r="F45" s="1">
        <v>2</v>
      </c>
    </row>
    <row r="46" spans="3:6" x14ac:dyDescent="0.2">
      <c r="C46" s="5" t="s">
        <v>69</v>
      </c>
      <c r="D46" s="1" t="s">
        <v>78</v>
      </c>
      <c r="E46" s="1" t="s">
        <v>47</v>
      </c>
      <c r="F46" s="1">
        <v>11</v>
      </c>
    </row>
    <row r="47" spans="3:6" x14ac:dyDescent="0.2">
      <c r="C47" s="5" t="s">
        <v>69</v>
      </c>
      <c r="D47" s="1" t="s">
        <v>79</v>
      </c>
      <c r="E47" s="1" t="s">
        <v>47</v>
      </c>
      <c r="F47" s="1">
        <v>1</v>
      </c>
    </row>
    <row r="48" spans="3:6" x14ac:dyDescent="0.2">
      <c r="C48" s="5" t="s">
        <v>69</v>
      </c>
      <c r="D48" s="1" t="s">
        <v>74</v>
      </c>
      <c r="E48" s="1" t="s">
        <v>47</v>
      </c>
      <c r="F48" s="1">
        <v>28</v>
      </c>
    </row>
    <row r="49" spans="3:6" x14ac:dyDescent="0.2">
      <c r="C49" s="5" t="s">
        <v>69</v>
      </c>
      <c r="D49" s="1" t="s">
        <v>80</v>
      </c>
      <c r="E49" s="1" t="s">
        <v>45</v>
      </c>
      <c r="F49" s="1">
        <v>3</v>
      </c>
    </row>
    <row r="50" spans="3:6" x14ac:dyDescent="0.2">
      <c r="C50" s="5" t="s">
        <v>81</v>
      </c>
      <c r="D50" s="1" t="s">
        <v>82</v>
      </c>
      <c r="E50" s="1" t="s">
        <v>83</v>
      </c>
      <c r="F50" s="1">
        <v>1</v>
      </c>
    </row>
    <row r="51" spans="3:6" x14ac:dyDescent="0.2">
      <c r="C51" s="5" t="s">
        <v>81</v>
      </c>
      <c r="D51" s="1" t="s">
        <v>84</v>
      </c>
      <c r="E51" s="1" t="s">
        <v>83</v>
      </c>
      <c r="F51" s="1">
        <v>2</v>
      </c>
    </row>
    <row r="52" spans="3:6" x14ac:dyDescent="0.2">
      <c r="C52" s="5" t="s">
        <v>81</v>
      </c>
      <c r="D52" s="1" t="s">
        <v>85</v>
      </c>
      <c r="E52" s="1" t="s">
        <v>86</v>
      </c>
      <c r="F52" s="1">
        <v>1</v>
      </c>
    </row>
    <row r="53" spans="3:6" x14ac:dyDescent="0.2">
      <c r="C53" s="5" t="s">
        <v>87</v>
      </c>
      <c r="D53" s="1" t="s">
        <v>88</v>
      </c>
      <c r="E53" s="1" t="s">
        <v>53</v>
      </c>
      <c r="F53" s="1">
        <v>13</v>
      </c>
    </row>
    <row r="54" spans="3:6" x14ac:dyDescent="0.2">
      <c r="C54" s="5" t="s">
        <v>87</v>
      </c>
      <c r="D54" s="1" t="s">
        <v>44</v>
      </c>
      <c r="E54" s="1" t="s">
        <v>53</v>
      </c>
      <c r="F54" s="1">
        <v>64</v>
      </c>
    </row>
    <row r="55" spans="3:6" x14ac:dyDescent="0.2">
      <c r="C55" s="5" t="s">
        <v>30</v>
      </c>
      <c r="D55" s="1" t="s">
        <v>65</v>
      </c>
      <c r="E55" s="1" t="s">
        <v>46</v>
      </c>
      <c r="F55" s="1">
        <v>1</v>
      </c>
    </row>
    <row r="56" spans="3:6" ht="14" customHeight="1" x14ac:dyDescent="0.2">
      <c r="C56" s="5" t="s">
        <v>89</v>
      </c>
      <c r="D56" s="1" t="s">
        <v>53</v>
      </c>
      <c r="E56" s="1" t="s">
        <v>90</v>
      </c>
      <c r="F56" s="1">
        <v>5</v>
      </c>
    </row>
    <row r="57" spans="3:6" x14ac:dyDescent="0.2">
      <c r="C57" s="5" t="s">
        <v>89</v>
      </c>
      <c r="D57" s="1" t="s">
        <v>91</v>
      </c>
      <c r="E57" s="1" t="s">
        <v>53</v>
      </c>
      <c r="F57" s="1">
        <v>5</v>
      </c>
    </row>
    <row r="58" spans="3:6" x14ac:dyDescent="0.2">
      <c r="C58" s="5" t="s">
        <v>89</v>
      </c>
      <c r="D58" s="1"/>
      <c r="E58" s="1" t="s">
        <v>92</v>
      </c>
      <c r="F58" s="1">
        <v>3</v>
      </c>
    </row>
    <row r="59" spans="3:6" x14ac:dyDescent="0.2">
      <c r="C59" s="5" t="s">
        <v>93</v>
      </c>
      <c r="D59" s="1" t="s">
        <v>53</v>
      </c>
      <c r="E59" s="1" t="s">
        <v>53</v>
      </c>
      <c r="F59" s="1">
        <v>1</v>
      </c>
    </row>
    <row r="60" spans="3:6" x14ac:dyDescent="0.2">
      <c r="C60" s="5" t="s">
        <v>94</v>
      </c>
      <c r="D60" s="1"/>
      <c r="E60" s="1" t="s">
        <v>90</v>
      </c>
      <c r="F60" s="1">
        <v>1</v>
      </c>
    </row>
    <row r="61" spans="3:6" x14ac:dyDescent="0.2">
      <c r="C61" s="5" t="s">
        <v>95</v>
      </c>
      <c r="D61" s="1">
        <v>11</v>
      </c>
      <c r="E61" s="1" t="s">
        <v>53</v>
      </c>
      <c r="F61" s="1" t="s">
        <v>96</v>
      </c>
    </row>
    <row r="62" spans="3:6" x14ac:dyDescent="0.2">
      <c r="C62" s="5" t="s">
        <v>97</v>
      </c>
      <c r="D62" s="1">
        <v>22</v>
      </c>
      <c r="E62" s="1" t="s">
        <v>53</v>
      </c>
      <c r="F62" s="1" t="s">
        <v>98</v>
      </c>
    </row>
    <row r="63" spans="3:6" x14ac:dyDescent="0.2">
      <c r="C63" s="5" t="s">
        <v>99</v>
      </c>
      <c r="D63" s="1">
        <v>1000</v>
      </c>
      <c r="E63" s="1"/>
      <c r="F63" s="1" t="s">
        <v>118</v>
      </c>
    </row>
    <row r="64" spans="3:6" x14ac:dyDescent="0.2">
      <c r="C64" s="5" t="s">
        <v>99</v>
      </c>
      <c r="D64" s="1"/>
      <c r="E64" s="1" t="s">
        <v>53</v>
      </c>
      <c r="F64" s="1" t="s">
        <v>100</v>
      </c>
    </row>
    <row r="65" spans="3:6" x14ac:dyDescent="0.2">
      <c r="C65" s="5" t="s">
        <v>99</v>
      </c>
      <c r="D65" s="1" t="s">
        <v>101</v>
      </c>
      <c r="E65" s="1" t="s">
        <v>53</v>
      </c>
      <c r="F65" s="1" t="s">
        <v>102</v>
      </c>
    </row>
    <row r="66" spans="3:6" x14ac:dyDescent="0.2">
      <c r="C66" s="5" t="s">
        <v>103</v>
      </c>
      <c r="D66" s="1" t="s">
        <v>53</v>
      </c>
      <c r="E66" s="1" t="s">
        <v>53</v>
      </c>
      <c r="F66" s="1" t="s">
        <v>104</v>
      </c>
    </row>
    <row r="67" spans="3:6" x14ac:dyDescent="0.2">
      <c r="C67" s="5" t="s">
        <v>103</v>
      </c>
      <c r="D67" s="1" t="s">
        <v>53</v>
      </c>
      <c r="E67" s="1" t="s">
        <v>53</v>
      </c>
      <c r="F67" s="1" t="s">
        <v>105</v>
      </c>
    </row>
    <row r="68" spans="3:6" x14ac:dyDescent="0.2">
      <c r="C68" s="5" t="s">
        <v>106</v>
      </c>
      <c r="D68" s="1" t="s">
        <v>53</v>
      </c>
      <c r="E68" s="1" t="s">
        <v>53</v>
      </c>
      <c r="F68" s="1">
        <v>1</v>
      </c>
    </row>
    <row r="69" spans="3:6" x14ac:dyDescent="0.2">
      <c r="C69" s="5" t="s">
        <v>8</v>
      </c>
      <c r="D69" s="1" t="s">
        <v>107</v>
      </c>
      <c r="E69" s="1" t="s">
        <v>7</v>
      </c>
      <c r="F69" s="1">
        <v>1</v>
      </c>
    </row>
    <row r="70" spans="3:6" x14ac:dyDescent="0.2">
      <c r="C70" s="5" t="s">
        <v>108</v>
      </c>
      <c r="D70" s="1" t="s">
        <v>53</v>
      </c>
      <c r="E70" s="1" t="s">
        <v>67</v>
      </c>
      <c r="F70" s="1" t="s">
        <v>109</v>
      </c>
    </row>
    <row r="71" spans="3:6" x14ac:dyDescent="0.2">
      <c r="C71" s="5" t="s">
        <v>110</v>
      </c>
      <c r="D71" s="1" t="s">
        <v>53</v>
      </c>
      <c r="E71" s="1" t="s">
        <v>53</v>
      </c>
      <c r="F71" s="1">
        <v>3</v>
      </c>
    </row>
    <row r="72" spans="3:6" x14ac:dyDescent="0.2">
      <c r="C72" s="5" t="s">
        <v>111</v>
      </c>
      <c r="D72" s="1" t="s">
        <v>112</v>
      </c>
      <c r="E72" s="1" t="s">
        <v>90</v>
      </c>
      <c r="F72" s="1">
        <v>1</v>
      </c>
    </row>
    <row r="73" spans="3:6" x14ac:dyDescent="0.2">
      <c r="C73" s="5" t="s">
        <v>113</v>
      </c>
      <c r="D73" s="1" t="s">
        <v>79</v>
      </c>
      <c r="E73" s="1" t="s">
        <v>46</v>
      </c>
      <c r="F73" s="1">
        <v>1</v>
      </c>
    </row>
    <row r="74" spans="3:6" x14ac:dyDescent="0.2">
      <c r="C74" s="5" t="s">
        <v>114</v>
      </c>
      <c r="D74" s="1" t="s">
        <v>53</v>
      </c>
      <c r="E74" s="1" t="s">
        <v>53</v>
      </c>
      <c r="F74" s="1" t="s">
        <v>115</v>
      </c>
    </row>
  </sheetData>
  <mergeCells count="2">
    <mergeCell ref="C1:F1"/>
    <mergeCell ref="C2:F2"/>
  </mergeCells>
  <pageMargins left="0.7" right="0.7" top="0.75" bottom="0.75" header="0.3" footer="0.3"/>
  <pageSetup paperSize="9" scale="60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A6746-7D09-C14A-9DEA-42B388B4843F}">
  <dimension ref="D1:E7"/>
  <sheetViews>
    <sheetView zoomScaleNormal="100" workbookViewId="0">
      <selection activeCell="J32" sqref="J32"/>
    </sheetView>
  </sheetViews>
  <sheetFormatPr baseColWidth="10" defaultRowHeight="16" x14ac:dyDescent="0.2"/>
  <cols>
    <col min="4" max="4" width="36.6640625" customWidth="1"/>
    <col min="5" max="5" width="29.33203125" customWidth="1"/>
  </cols>
  <sheetData>
    <row r="1" spans="4:5" x14ac:dyDescent="0.2">
      <c r="D1" s="12" t="s">
        <v>13</v>
      </c>
      <c r="E1" s="12"/>
    </row>
    <row r="2" spans="4:5" x14ac:dyDescent="0.2">
      <c r="D2" s="12"/>
      <c r="E2" s="12"/>
    </row>
    <row r="4" spans="4:5" ht="29" x14ac:dyDescent="0.35">
      <c r="D4" s="3" t="s">
        <v>9</v>
      </c>
      <c r="E4" s="3" t="s">
        <v>10</v>
      </c>
    </row>
    <row r="5" spans="4:5" ht="24" x14ac:dyDescent="0.2">
      <c r="D5" s="2" t="s">
        <v>14</v>
      </c>
      <c r="E5" s="2">
        <v>3500</v>
      </c>
    </row>
    <row r="6" spans="4:5" ht="24" x14ac:dyDescent="0.2">
      <c r="D6" s="2" t="s">
        <v>15</v>
      </c>
      <c r="E6" s="2">
        <v>1845</v>
      </c>
    </row>
    <row r="7" spans="4:5" ht="29" x14ac:dyDescent="0.35">
      <c r="D7" s="3" t="s">
        <v>12</v>
      </c>
      <c r="E7" s="3">
        <f>SUM(E5:E6)</f>
        <v>5345</v>
      </c>
    </row>
  </sheetData>
  <mergeCells count="1">
    <mergeCell ref="D1:E2"/>
  </mergeCells>
  <pageMargins left="0.7" right="0.7" top="0.75" bottom="0.75" header="0.3" footer="0.3"/>
  <pageSetup paperSize="9" scale="83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989DC-FA5C-7448-A421-7CE8354AF1C0}">
  <dimension ref="E1:H21"/>
  <sheetViews>
    <sheetView tabSelected="1" topLeftCell="A17" zoomScaleNormal="100" workbookViewId="0">
      <selection activeCell="G16" sqref="G16"/>
    </sheetView>
  </sheetViews>
  <sheetFormatPr baseColWidth="10" defaultRowHeight="16" x14ac:dyDescent="0.2"/>
  <cols>
    <col min="5" max="5" width="38.5" customWidth="1"/>
    <col min="6" max="6" width="32.6640625" customWidth="1"/>
    <col min="7" max="7" width="23.83203125" customWidth="1"/>
    <col min="8" max="8" width="25.33203125" customWidth="1"/>
    <col min="9" max="9" width="10.83203125" customWidth="1"/>
  </cols>
  <sheetData>
    <row r="1" spans="5:8" ht="16" customHeight="1" x14ac:dyDescent="0.2">
      <c r="E1" s="13" t="s">
        <v>116</v>
      </c>
      <c r="F1" s="14"/>
      <c r="G1" s="14"/>
      <c r="H1" s="14"/>
    </row>
    <row r="2" spans="5:8" ht="16" customHeight="1" x14ac:dyDescent="0.2">
      <c r="E2" s="13"/>
      <c r="F2" s="14"/>
      <c r="G2" s="14"/>
      <c r="H2" s="14"/>
    </row>
    <row r="4" spans="5:8" ht="29" x14ac:dyDescent="0.35">
      <c r="E4" s="3" t="s">
        <v>9</v>
      </c>
      <c r="F4" s="3" t="s">
        <v>10</v>
      </c>
      <c r="G4" s="3" t="s">
        <v>17</v>
      </c>
      <c r="H4" s="3" t="s">
        <v>12</v>
      </c>
    </row>
    <row r="5" spans="5:8" ht="24" x14ac:dyDescent="0.2">
      <c r="E5" s="2" t="s">
        <v>16</v>
      </c>
      <c r="F5" s="2">
        <v>2400</v>
      </c>
      <c r="G5" s="2">
        <v>8.4</v>
      </c>
      <c r="H5" s="7">
        <f>F5*G5</f>
        <v>20160</v>
      </c>
    </row>
    <row r="6" spans="5:8" ht="24" x14ac:dyDescent="0.2">
      <c r="E6" s="2" t="s">
        <v>11</v>
      </c>
      <c r="F6" s="2">
        <v>1400</v>
      </c>
      <c r="G6" s="2">
        <v>7.2</v>
      </c>
      <c r="H6" s="7">
        <f>F6*G6</f>
        <v>10080</v>
      </c>
    </row>
    <row r="7" spans="5:8" ht="24" x14ac:dyDescent="0.2">
      <c r="E7" s="2" t="s">
        <v>18</v>
      </c>
      <c r="F7" s="2"/>
      <c r="G7" s="2"/>
      <c r="H7" s="7">
        <v>3335.77</v>
      </c>
    </row>
    <row r="8" spans="5:8" ht="29" x14ac:dyDescent="0.35">
      <c r="E8" s="3" t="s">
        <v>12</v>
      </c>
      <c r="F8" s="3">
        <f>SUM(F5:F7)</f>
        <v>3800</v>
      </c>
      <c r="G8" s="3" t="s">
        <v>53</v>
      </c>
      <c r="H8" s="8">
        <f>SUM(H5:H7)</f>
        <v>33575.769999999997</v>
      </c>
    </row>
    <row r="11" spans="5:8" ht="16" customHeight="1" x14ac:dyDescent="0.2">
      <c r="E11" s="13" t="s">
        <v>117</v>
      </c>
      <c r="F11" s="14"/>
      <c r="G11" s="14"/>
      <c r="H11" s="14"/>
    </row>
    <row r="12" spans="5:8" ht="16" customHeight="1" x14ac:dyDescent="0.2">
      <c r="E12" s="13"/>
      <c r="F12" s="14"/>
      <c r="G12" s="14"/>
      <c r="H12" s="14"/>
    </row>
    <row r="14" spans="5:8" ht="29" x14ac:dyDescent="0.35">
      <c r="E14" s="3" t="s">
        <v>9</v>
      </c>
      <c r="F14" s="3" t="s">
        <v>10</v>
      </c>
      <c r="G14" s="3" t="s">
        <v>17</v>
      </c>
      <c r="H14" s="3" t="s">
        <v>12</v>
      </c>
    </row>
    <row r="15" spans="5:8" ht="24" x14ac:dyDescent="0.2">
      <c r="E15" s="2" t="s">
        <v>16</v>
      </c>
      <c r="F15" s="2">
        <v>7000</v>
      </c>
      <c r="G15" s="2">
        <v>8.4</v>
      </c>
      <c r="H15" s="7">
        <f>F15*G15</f>
        <v>58800</v>
      </c>
    </row>
    <row r="16" spans="5:8" ht="24" x14ac:dyDescent="0.2">
      <c r="E16" s="2" t="s">
        <v>11</v>
      </c>
      <c r="F16" s="2">
        <v>2870</v>
      </c>
      <c r="G16" s="2">
        <v>7.2</v>
      </c>
      <c r="H16" s="7">
        <f>F16*G16</f>
        <v>20664</v>
      </c>
    </row>
    <row r="17" spans="5:8" ht="24" x14ac:dyDescent="0.2">
      <c r="E17" s="2" t="s">
        <v>18</v>
      </c>
      <c r="F17" s="2"/>
      <c r="G17" s="2"/>
      <c r="H17" s="7">
        <v>8664.2279999999992</v>
      </c>
    </row>
    <row r="18" spans="5:8" ht="29" x14ac:dyDescent="0.35">
      <c r="E18" s="3" t="s">
        <v>12</v>
      </c>
      <c r="F18" s="3">
        <f>SUM(F15:F16)</f>
        <v>9870</v>
      </c>
      <c r="G18" s="3" t="s">
        <v>53</v>
      </c>
      <c r="H18" s="8">
        <f>SUM(H15:H17)</f>
        <v>88128.228000000003</v>
      </c>
    </row>
    <row r="21" spans="5:8" ht="29" x14ac:dyDescent="0.2">
      <c r="E21" s="12" t="s">
        <v>12</v>
      </c>
      <c r="F21" s="12"/>
      <c r="G21" s="12"/>
      <c r="H21" s="9">
        <f>H8+H18</f>
        <v>121703.99799999999</v>
      </c>
    </row>
  </sheetData>
  <mergeCells count="3">
    <mergeCell ref="E1:H2"/>
    <mergeCell ref="E11:H12"/>
    <mergeCell ref="E21:G21"/>
  </mergeCells>
  <pageMargins left="0.7" right="0.7" top="0.75" bottom="0.75" header="0.3" footer="0.3"/>
  <pageSetup paperSize="9" scale="62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2</vt:i4>
      </vt:variant>
    </vt:vector>
  </HeadingPairs>
  <TitlesOfParts>
    <vt:vector size="5" baseType="lpstr">
      <vt:lpstr>stock materiaux </vt:lpstr>
      <vt:lpstr>stock  carton produit du maroc </vt:lpstr>
      <vt:lpstr>stock carton mapexel copemar </vt:lpstr>
      <vt:lpstr>'stock  carton produit du maroc '!Zone_d_impression</vt:lpstr>
      <vt:lpstr>'stock carton mapexel copemar 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ABDELAH EL HOUAT</dc:creator>
  <cp:lastModifiedBy>ABDELAH EL HOUAT</cp:lastModifiedBy>
  <cp:lastPrinted>2026-06-16T13:36:32Z</cp:lastPrinted>
  <dcterms:created xsi:type="dcterms:W3CDTF">2026-06-15T10:54:10Z</dcterms:created>
  <dcterms:modified xsi:type="dcterms:W3CDTF">2026-06-17T16:16:59Z</dcterms:modified>
</cp:coreProperties>
</file>